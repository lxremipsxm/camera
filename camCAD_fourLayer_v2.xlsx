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0497608f5eedf2/Desktop/Personal/camera/"/>
    </mc:Choice>
  </mc:AlternateContent>
  <xr:revisionPtr revIDLastSave="119" documentId="8_{0E389731-D637-4A94-B822-650E73EDA3C0}" xr6:coauthVersionLast="47" xr6:coauthVersionMax="47" xr10:uidLastSave="{0980013F-95BC-460C-98A7-C0554539F134}"/>
  <bookViews>
    <workbookView xWindow="-120" yWindow="-120" windowWidth="29040" windowHeight="15720" xr2:uid="{B01DF8CD-24B8-4637-8B99-D09A6A95A1A7}"/>
  </bookViews>
  <sheets>
    <sheet name="camCAD_fourLayer_v2" sheetId="1" r:id="rId1"/>
  </sheets>
  <calcPr calcId="0"/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<sst xmlns="http://schemas.openxmlformats.org/spreadsheetml/2006/main" count="168" uniqueCount="145">
  <si>
    <t>Reference</t>
  </si>
  <si>
    <t>Qty</t>
  </si>
  <si>
    <t>Value</t>
  </si>
  <si>
    <t>Footprint</t>
  </si>
  <si>
    <t>Datasheet</t>
  </si>
  <si>
    <t>R8</t>
  </si>
  <si>
    <t>Resistor_SMD:R_1206_3216Metric</t>
  </si>
  <si>
    <t>R19</t>
  </si>
  <si>
    <t>220k</t>
  </si>
  <si>
    <t>Resistor_SMD:R_0805_2012Metric</t>
  </si>
  <si>
    <t>R18</t>
  </si>
  <si>
    <t>100k</t>
  </si>
  <si>
    <t>Resistor_SMD:R_0402_1005Metric</t>
  </si>
  <si>
    <t>R13</t>
  </si>
  <si>
    <t>R11</t>
  </si>
  <si>
    <t>4.7k</t>
  </si>
  <si>
    <t>R10,R12</t>
  </si>
  <si>
    <t>1k</t>
  </si>
  <si>
    <t>R7</t>
  </si>
  <si>
    <t>R6</t>
  </si>
  <si>
    <t>R5</t>
  </si>
  <si>
    <t>R2,R3</t>
  </si>
  <si>
    <t>5.1k</t>
  </si>
  <si>
    <t>R1,R4,R9,R14,R15,R16,R17</t>
  </si>
  <si>
    <t>10k</t>
  </si>
  <si>
    <t>U3</t>
  </si>
  <si>
    <t>STM32F407ZGTx</t>
  </si>
  <si>
    <t>Package_QFP:LQFP-144_20x20mm_P0.5mm</t>
  </si>
  <si>
    <t>https://www.st.com/resource/en/datasheet/stm32f407zg.pdf</t>
  </si>
  <si>
    <t>L1</t>
  </si>
  <si>
    <t>2.2uH</t>
  </si>
  <si>
    <t>Inductor_SMD:L_1008_2520Metric</t>
  </si>
  <si>
    <t>J2</t>
  </si>
  <si>
    <t>SWD Header</t>
  </si>
  <si>
    <t>Connector_PinHeader_2.54mm:PinHeader_1x05_P2.54mm_Vertical</t>
  </si>
  <si>
    <t>J4</t>
  </si>
  <si>
    <t>EYESPI</t>
  </si>
  <si>
    <t>CON_5051101892_MOL</t>
  </si>
  <si>
    <t>https://www.molex.com/en-us/products/part-detail-pdf/5051101892?display=pdf</t>
  </si>
  <si>
    <t>C3,C24,C25</t>
  </si>
  <si>
    <t>4.7uF cer</t>
  </si>
  <si>
    <t>Capacitor_SMD:C_0805_2012Metric</t>
  </si>
  <si>
    <t>C26,C27,C28,C29</t>
  </si>
  <si>
    <t>1uF cer, low ESR</t>
  </si>
  <si>
    <t>Capacitor_SMD:C_0603_1608Metric</t>
  </si>
  <si>
    <t>C20,C21</t>
  </si>
  <si>
    <t>10uF</t>
  </si>
  <si>
    <t>C19</t>
  </si>
  <si>
    <t>0.1uF</t>
  </si>
  <si>
    <t>C16,C22</t>
  </si>
  <si>
    <t>1uF cer</t>
  </si>
  <si>
    <t>C4,C5,C6,C7,C8,C9,C10,C11,C12,C13,C14,C15,C17,C18,C23</t>
  </si>
  <si>
    <t>100nF cer</t>
  </si>
  <si>
    <t>C1,C2</t>
  </si>
  <si>
    <t>2.2uF cer</t>
  </si>
  <si>
    <t>Capacitor_SMD:C_0201_0603Metric</t>
  </si>
  <si>
    <t>SW6</t>
  </si>
  <si>
    <t>Shutter</t>
  </si>
  <si>
    <t>1_Switches:SW_SKRPABE010</t>
  </si>
  <si>
    <t>SW5</t>
  </si>
  <si>
    <t>Flash/Delete</t>
  </si>
  <si>
    <t>SW4</t>
  </si>
  <si>
    <t>Backward</t>
  </si>
  <si>
    <t>SW3</t>
  </si>
  <si>
    <t>Forward</t>
  </si>
  <si>
    <t>SW2</t>
  </si>
  <si>
    <t>Pictures/Back</t>
  </si>
  <si>
    <t>SW1</t>
  </si>
  <si>
    <t>NRST_SW</t>
  </si>
  <si>
    <t>J1</t>
  </si>
  <si>
    <t>USB C Charging Port</t>
  </si>
  <si>
    <t>1_Sockets:SAMESKY_UJ20-C-H-G-SMT-1-P16-TR</t>
  </si>
  <si>
    <t>U6</t>
  </si>
  <si>
    <t>ADA 254</t>
  </si>
  <si>
    <t>1_MicroSD:MODULE_254</t>
  </si>
  <si>
    <t>U5</t>
  </si>
  <si>
    <t>Flash LED</t>
  </si>
  <si>
    <t>1_LEDs:QBLP677AD-IWD-2897</t>
  </si>
  <si>
    <t>D6</t>
  </si>
  <si>
    <t>PG_LED</t>
  </si>
  <si>
    <t>1_LEDs:LEDM1608X80_G</t>
  </si>
  <si>
    <t>D7</t>
  </si>
  <si>
    <t>CHG_LED</t>
  </si>
  <si>
    <t>1_LEDs:LEDC1608X35N_R</t>
  </si>
  <si>
    <t>D3</t>
  </si>
  <si>
    <t>ActivityLED</t>
  </si>
  <si>
    <t>1_LEDs:CLMVC-FKA-CL1D1L71BB7C3C3_CRE</t>
  </si>
  <si>
    <t>CLMVC-FKA-CL1D1L71BB7C3C3</t>
  </si>
  <si>
    <t>J3</t>
  </si>
  <si>
    <t>BATTERY</t>
  </si>
  <si>
    <t>1_Headers:JST_B2B-XH-A</t>
  </si>
  <si>
    <t>FB1</t>
  </si>
  <si>
    <t>FerriteBead_Small</t>
  </si>
  <si>
    <t>1_FerriteBeads:BEADC1608X95N</t>
  </si>
  <si>
    <t>U1</t>
  </si>
  <si>
    <t>BQ24072RGTR Charging IC</t>
  </si>
  <si>
    <t>1_DPPMs:RGT16_1P7X1P7</t>
  </si>
  <si>
    <t>https://www.ti.com/lit/gpn/bq24072</t>
  </si>
  <si>
    <t>U4</t>
  </si>
  <si>
    <t>AP3602AKTR-G1 Charge Pump</t>
  </si>
  <si>
    <t>1_ChargePump:SOT-23-6_DIO</t>
  </si>
  <si>
    <t>AP3602AKTR-G1</t>
  </si>
  <si>
    <t>OV2</t>
  </si>
  <si>
    <t>CAMERA-OV7670</t>
  </si>
  <si>
    <t>1_Cameras:CAMERA-OV7670-DIP</t>
  </si>
  <si>
    <t>U2</t>
  </si>
  <si>
    <t>SC189ZSKTRT</t>
  </si>
  <si>
    <t>1_BuckConverters:SOT23-5-SC189_SEM</t>
  </si>
  <si>
    <t>Buy Qty</t>
  </si>
  <si>
    <t>Total Price</t>
  </si>
  <si>
    <t>Digikey Part No</t>
  </si>
  <si>
    <t>P619LCT-ND</t>
  </si>
  <si>
    <t>A126350CT-ND</t>
  </si>
  <si>
    <t xml:space="preserve">311-100KLRCT-ND </t>
  </si>
  <si>
    <t>P47BCCT-ND</t>
  </si>
  <si>
    <t xml:space="preserve">311-1.00KLRCT-ND </t>
  </si>
  <si>
    <t>A129612CT-ND</t>
  </si>
  <si>
    <t>541-33.0LCT-ND</t>
  </si>
  <si>
    <t>541-22.0LCT-ND</t>
  </si>
  <si>
    <t>P5.10KLCT-ND</t>
  </si>
  <si>
    <t>RMCF0402FT10K0CT-ND</t>
  </si>
  <si>
    <t>497-11766-ND</t>
  </si>
  <si>
    <t xml:space="preserve">587-3226-1-ND </t>
  </si>
  <si>
    <t>WM12374CT-ND</t>
  </si>
  <si>
    <t>1276-1065-1-ND</t>
  </si>
  <si>
    <t>587-6336-1-ND</t>
  </si>
  <si>
    <t>478-KGM03CR50J225MHCT-ND</t>
  </si>
  <si>
    <t>4809-SKRPABE010CT-ND</t>
  </si>
  <si>
    <t>2223-UJ20-C-H-G-SMT-1-P16-TRCT-ND</t>
  </si>
  <si>
    <t>ADA4311</t>
  </si>
  <si>
    <t>1528-4311-ND</t>
  </si>
  <si>
    <t>1528-1462-ND</t>
  </si>
  <si>
    <t>1516-QBLP677AD-IWD-2897CT-ND</t>
  </si>
  <si>
    <t xml:space="preserve">160-LTST-C190GKTCT-ND </t>
  </si>
  <si>
    <t>160-1436-1-ND</t>
  </si>
  <si>
    <t>CLMVC-FKA-CL1D1L71BB7C3C3CT-ND</t>
  </si>
  <si>
    <t>1471-MIKROE-4474-ND</t>
  </si>
  <si>
    <t>Battery</t>
  </si>
  <si>
    <t>455-B2B-XH-A-ND</t>
  </si>
  <si>
    <t>490-14396-1-ND</t>
  </si>
  <si>
    <t>296-38871-1-ND</t>
  </si>
  <si>
    <t>31-AP3602AKTR-G1CT-ND</t>
  </si>
  <si>
    <t>SC189ZSKCT-ND</t>
  </si>
  <si>
    <t>!</t>
  </si>
  <si>
    <t>311-4.7KJRCT-ND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</si>
</sst>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94FF-F6E2-4679-B679-4B1298DAB05B}">
  <dimension ref="A1:H44"/>
  <sheetViews>
    <sheetView tabSelected="1" workbookViewId="0">
      <selection activeCell="C10" sqref="C10"/>
    </sheetView>
  </sheetViews>
  <sheetFormatPr defaultRowHeight="15" x14ac:dyDescent="0.25"/>
  <cols>
    <col min="1" max="1" width="62" customWidth="1"/>
    <col min="2" max="2" width="28.5703125" customWidth="1"/>
    <col min="3" max="3" width="38" customWidth="1"/>
    <col min="4" max="5" width="9.7109375" customWidth="1"/>
    <col min="6" max="6" width="13.7109375" customWidth="1"/>
    <col min="7" max="7" width="67" customWidth="1"/>
  </cols>
  <sheetData>
    <row r="1" spans="1:8" x14ac:dyDescent="0.25">
      <c r="A1" t="s">
        <v>0</v>
      </c>
      <c r="B1" t="s">
        <v>2</v>
      </c>
      <c r="C1" t="s">
        <v>110</v>
      </c>
      <c r="D1" t="s">
        <v>1</v>
      </c>
      <c r="E1" t="s">
        <v>108</v>
      </c>
      <c r="F1" t="s">
        <v>109</v>
      </c>
      <c r="G1" t="s">
        <v>3</v>
      </c>
      <c r="H1" t="s">
        <v>4</v>
      </c>
    </row>
    <row r="2" spans="1:8" x14ac:dyDescent="0.25">
      <c r="A2" t="s">
        <v>5</v>
      </c>
      <c r="B2">
        <v>47</v>
      </c>
      <c r="C2" t="s">
        <v>114</v>
      </c>
      <c r="D2">
        <v>1</v>
      </c>
      <c r="E2">
        <v>4</v>
      </c>
      <c r="F2" s="1" t="s">
        <v>143</v>
      </c>
      <c r="G2" t="s">
        <v>6</v>
      </c>
    </row>
    <row r="3" spans="1:8" x14ac:dyDescent="0.25">
      <c r="A3" t="s">
        <v>7</v>
      </c>
      <c r="B3" t="s">
        <v>8</v>
      </c>
      <c r="C3" t="s">
        <v>112</v>
      </c>
      <c r="D3">
        <v>1</v>
      </c>
      <c r="E3">
        <v>10</v>
      </c>
      <c r="F3" s="1">
        <v>0.42</v>
      </c>
      <c r="G3" t="s">
        <v>9</v>
      </c>
    </row>
    <row r="4" spans="1:8" x14ac:dyDescent="0.25">
      <c r="A4" t="s">
        <v>10</v>
      </c>
      <c r="B4" t="s">
        <v>11</v>
      </c>
      <c r="C4" t="s">
        <v>113</v>
      </c>
      <c r="D4">
        <v>1</v>
      </c>
      <c r="E4">
        <v>10</v>
      </c>
      <c r="F4" s="1">
        <v>0.42</v>
      </c>
      <c r="G4" t="s">
        <v>12</v>
      </c>
    </row>
    <row r="5" spans="1:8" x14ac:dyDescent="0.25">
      <c r="A5" t="s">
        <v>13</v>
      </c>
      <c r="B5">
        <v>619</v>
      </c>
      <c r="C5" t="s">
        <v>111</v>
      </c>
      <c r="D5">
        <v>1</v>
      </c>
      <c r="E5">
        <v>10</v>
      </c>
      <c r="F5" s="1">
        <v>0.31</v>
      </c>
      <c r="G5" t="s">
        <v>12</v>
      </c>
    </row>
    <row r="6" spans="1:8" x14ac:dyDescent="0.25">
      <c r="A6" t="s">
        <v>14</v>
      </c>
      <c r="B6" t="s">
        <v>15</v>
      </c>
      <c r="C6" t="s">
        <v>144</v>
      </c>
      <c r="D6">
        <v>1</v>
      </c>
      <c r="E6">
        <v>10</v>
      </c>
      <c r="F6" s="1">
        <v>0.2</v>
      </c>
      <c r="G6" t="s">
        <v>12</v>
      </c>
    </row>
    <row r="7" spans="1:8" x14ac:dyDescent="0.25">
      <c r="A7" t="s">
        <v>16</v>
      </c>
      <c r="B7" t="s">
        <v>17</v>
      </c>
      <c r="C7" t="s">
        <v>115</v>
      </c>
      <c r="D7">
        <v>2</v>
      </c>
      <c r="E7">
        <v>10</v>
      </c>
      <c r="F7" s="1">
        <v>0.21</v>
      </c>
      <c r="G7" t="s">
        <v>12</v>
      </c>
    </row>
    <row r="8" spans="1:8" x14ac:dyDescent="0.25">
      <c r="A8" t="s">
        <v>18</v>
      </c>
      <c r="B8">
        <v>56</v>
      </c>
      <c r="C8" t="s">
        <v>116</v>
      </c>
      <c r="D8">
        <v>1</v>
      </c>
      <c r="E8">
        <v>10</v>
      </c>
      <c r="F8" s="1">
        <v>0.3</v>
      </c>
      <c r="G8" t="s">
        <v>12</v>
      </c>
    </row>
    <row r="9" spans="1:8" x14ac:dyDescent="0.25">
      <c r="A9" t="s">
        <v>19</v>
      </c>
      <c r="B9">
        <v>33</v>
      </c>
      <c r="C9" t="s">
        <v>117</v>
      </c>
      <c r="D9">
        <v>1</v>
      </c>
      <c r="E9">
        <v>10</v>
      </c>
      <c r="F9" s="1">
        <v>0.32</v>
      </c>
      <c r="G9" t="s">
        <v>12</v>
      </c>
    </row>
    <row r="10" spans="1:8" x14ac:dyDescent="0.25">
      <c r="A10" t="s">
        <v>20</v>
      </c>
      <c r="B10">
        <v>22</v>
      </c>
      <c r="C10" t="s">
        <v>118</v>
      </c>
      <c r="D10">
        <v>1</v>
      </c>
      <c r="E10">
        <v>4</v>
      </c>
      <c r="F10" s="1"/>
      <c r="G10" t="s">
        <v>12</v>
      </c>
    </row>
    <row r="11" spans="1:8" x14ac:dyDescent="0.25">
      <c r="A11" t="s">
        <v>21</v>
      </c>
      <c r="B11" t="s">
        <v>22</v>
      </c>
      <c r="C11" t="s">
        <v>119</v>
      </c>
      <c r="D11">
        <v>2</v>
      </c>
      <c r="E11">
        <v>5</v>
      </c>
      <c r="F11" s="1"/>
      <c r="G11" t="s">
        <v>12</v>
      </c>
    </row>
    <row r="12" spans="1:8" x14ac:dyDescent="0.25">
      <c r="A12" t="s">
        <v>23</v>
      </c>
      <c r="B12" t="s">
        <v>24</v>
      </c>
      <c r="C12" t="s">
        <v>120</v>
      </c>
      <c r="D12">
        <v>7</v>
      </c>
      <c r="E12">
        <v>10</v>
      </c>
      <c r="F12" s="1"/>
      <c r="G12" t="s">
        <v>12</v>
      </c>
    </row>
    <row r="13" spans="1:8" x14ac:dyDescent="0.25">
      <c r="A13" t="s">
        <v>25</v>
      </c>
      <c r="B13" t="s">
        <v>26</v>
      </c>
      <c r="C13" t="s">
        <v>121</v>
      </c>
      <c r="D13">
        <v>1</v>
      </c>
      <c r="E13">
        <v>1</v>
      </c>
      <c r="F13" s="1"/>
      <c r="G13" t="s">
        <v>27</v>
      </c>
      <c r="H13" t="s">
        <v>28</v>
      </c>
    </row>
    <row r="14" spans="1:8" x14ac:dyDescent="0.25">
      <c r="A14" t="s">
        <v>29</v>
      </c>
      <c r="B14" t="s">
        <v>30</v>
      </c>
      <c r="C14" t="s">
        <v>122</v>
      </c>
      <c r="D14">
        <v>1</v>
      </c>
      <c r="E14">
        <v>4</v>
      </c>
      <c r="F14" s="1"/>
      <c r="G14" t="s">
        <v>31</v>
      </c>
    </row>
    <row r="15" spans="1:8" x14ac:dyDescent="0.25">
      <c r="A15" t="s">
        <v>32</v>
      </c>
      <c r="B15" t="s">
        <v>33</v>
      </c>
      <c r="D15">
        <v>1</v>
      </c>
      <c r="E15">
        <v>0</v>
      </c>
      <c r="F15" s="1"/>
      <c r="G15" t="s">
        <v>34</v>
      </c>
    </row>
    <row r="16" spans="1:8" x14ac:dyDescent="0.25">
      <c r="A16" t="s">
        <v>35</v>
      </c>
      <c r="B16" t="s">
        <v>36</v>
      </c>
      <c r="C16" t="s">
        <v>123</v>
      </c>
      <c r="D16">
        <v>1</v>
      </c>
      <c r="E16">
        <v>3</v>
      </c>
      <c r="F16" s="1"/>
      <c r="G16" t="s">
        <v>37</v>
      </c>
      <c r="H16" t="s">
        <v>38</v>
      </c>
    </row>
    <row r="17" spans="1:7" x14ac:dyDescent="0.25">
      <c r="A17" t="s">
        <v>39</v>
      </c>
      <c r="B17" t="s">
        <v>40</v>
      </c>
      <c r="C17" t="s">
        <v>124</v>
      </c>
      <c r="D17">
        <v>3</v>
      </c>
      <c r="E17">
        <v>3</v>
      </c>
      <c r="F17" s="1"/>
      <c r="G17" t="s">
        <v>41</v>
      </c>
    </row>
    <row r="18" spans="1:7" x14ac:dyDescent="0.25">
      <c r="A18" t="s">
        <v>42</v>
      </c>
      <c r="B18" t="s">
        <v>43</v>
      </c>
      <c r="C18" t="s">
        <v>125</v>
      </c>
      <c r="D18">
        <v>4</v>
      </c>
      <c r="E18">
        <v>0</v>
      </c>
      <c r="F18" s="1"/>
      <c r="G18" t="s">
        <v>44</v>
      </c>
    </row>
    <row r="19" spans="1:7" x14ac:dyDescent="0.25">
      <c r="A19" t="s">
        <v>45</v>
      </c>
      <c r="B19" t="s">
        <v>46</v>
      </c>
      <c r="D19">
        <v>2</v>
      </c>
      <c r="E19">
        <v>0</v>
      </c>
      <c r="F19" s="1"/>
      <c r="G19" t="s">
        <v>44</v>
      </c>
    </row>
    <row r="20" spans="1:7" x14ac:dyDescent="0.25">
      <c r="A20" t="s">
        <v>47</v>
      </c>
      <c r="B20" t="s">
        <v>48</v>
      </c>
      <c r="D20">
        <v>1</v>
      </c>
      <c r="E20">
        <v>0</v>
      </c>
      <c r="F20" s="1"/>
      <c r="G20" t="s">
        <v>44</v>
      </c>
    </row>
    <row r="21" spans="1:7" x14ac:dyDescent="0.25">
      <c r="A21" t="s">
        <v>49</v>
      </c>
      <c r="B21" t="s">
        <v>50</v>
      </c>
      <c r="D21">
        <v>2</v>
      </c>
      <c r="E21">
        <v>0</v>
      </c>
      <c r="F21" s="1"/>
      <c r="G21" t="s">
        <v>44</v>
      </c>
    </row>
    <row r="22" spans="1:7" x14ac:dyDescent="0.25">
      <c r="A22" t="s">
        <v>51</v>
      </c>
      <c r="B22" t="s">
        <v>52</v>
      </c>
      <c r="D22">
        <v>15</v>
      </c>
      <c r="E22">
        <v>0</v>
      </c>
      <c r="F22" s="1"/>
      <c r="G22" t="s">
        <v>44</v>
      </c>
    </row>
    <row r="23" spans="1:7" x14ac:dyDescent="0.25">
      <c r="A23" t="s">
        <v>53</v>
      </c>
      <c r="B23" t="s">
        <v>54</v>
      </c>
      <c r="C23" t="s">
        <v>126</v>
      </c>
      <c r="D23">
        <v>2</v>
      </c>
      <c r="E23">
        <v>5</v>
      </c>
      <c r="F23" s="1"/>
      <c r="G23" t="s">
        <v>55</v>
      </c>
    </row>
    <row r="24" spans="1:7" x14ac:dyDescent="0.25">
      <c r="A24" t="s">
        <v>56</v>
      </c>
      <c r="B24" t="s">
        <v>57</v>
      </c>
      <c r="C24" t="s">
        <v>127</v>
      </c>
      <c r="D24">
        <v>1</v>
      </c>
      <c r="E24">
        <v>1</v>
      </c>
      <c r="F24" s="1"/>
      <c r="G24" t="s">
        <v>58</v>
      </c>
    </row>
    <row r="25" spans="1:7" x14ac:dyDescent="0.25">
      <c r="A25" t="s">
        <v>59</v>
      </c>
      <c r="B25" t="s">
        <v>60</v>
      </c>
      <c r="C25" t="s">
        <v>127</v>
      </c>
      <c r="D25">
        <v>1</v>
      </c>
      <c r="E25">
        <v>1</v>
      </c>
      <c r="F25" s="1"/>
      <c r="G25" t="s">
        <v>58</v>
      </c>
    </row>
    <row r="26" spans="1:7" x14ac:dyDescent="0.25">
      <c r="A26" t="s">
        <v>61</v>
      </c>
      <c r="B26" t="s">
        <v>62</v>
      </c>
      <c r="C26" t="s">
        <v>127</v>
      </c>
      <c r="D26">
        <v>1</v>
      </c>
      <c r="E26">
        <v>1</v>
      </c>
      <c r="F26" s="1"/>
      <c r="G26" t="s">
        <v>58</v>
      </c>
    </row>
    <row r="27" spans="1:7" x14ac:dyDescent="0.25">
      <c r="A27" t="s">
        <v>63</v>
      </c>
      <c r="B27" t="s">
        <v>64</v>
      </c>
      <c r="C27" t="s">
        <v>127</v>
      </c>
      <c r="D27">
        <v>1</v>
      </c>
      <c r="E27">
        <v>1</v>
      </c>
      <c r="F27" s="1"/>
      <c r="G27" t="s">
        <v>58</v>
      </c>
    </row>
    <row r="28" spans="1:7" x14ac:dyDescent="0.25">
      <c r="A28" t="s">
        <v>65</v>
      </c>
      <c r="B28" t="s">
        <v>66</v>
      </c>
      <c r="C28" t="s">
        <v>127</v>
      </c>
      <c r="D28">
        <v>1</v>
      </c>
      <c r="E28">
        <v>1</v>
      </c>
      <c r="F28" s="1"/>
      <c r="G28" t="s">
        <v>58</v>
      </c>
    </row>
    <row r="29" spans="1:7" x14ac:dyDescent="0.25">
      <c r="A29" t="s">
        <v>67</v>
      </c>
      <c r="B29" t="s">
        <v>68</v>
      </c>
      <c r="C29" t="s">
        <v>127</v>
      </c>
      <c r="D29">
        <v>1</v>
      </c>
      <c r="E29">
        <v>3</v>
      </c>
      <c r="F29" s="1"/>
      <c r="G29" t="s">
        <v>58</v>
      </c>
    </row>
    <row r="30" spans="1:7" x14ac:dyDescent="0.25">
      <c r="A30" t="s">
        <v>69</v>
      </c>
      <c r="B30" t="s">
        <v>70</v>
      </c>
      <c r="C30" t="s">
        <v>128</v>
      </c>
      <c r="D30">
        <v>1</v>
      </c>
      <c r="E30">
        <v>2</v>
      </c>
      <c r="F30" s="1"/>
      <c r="G30" t="s">
        <v>71</v>
      </c>
    </row>
    <row r="31" spans="1:7" x14ac:dyDescent="0.25">
      <c r="A31" t="s">
        <v>72</v>
      </c>
      <c r="B31" t="s">
        <v>73</v>
      </c>
      <c r="C31" t="s">
        <v>131</v>
      </c>
      <c r="D31">
        <v>1</v>
      </c>
      <c r="E31">
        <v>2</v>
      </c>
      <c r="F31" s="1"/>
      <c r="G31" t="s">
        <v>74</v>
      </c>
    </row>
    <row r="32" spans="1:7" x14ac:dyDescent="0.25">
      <c r="A32" t="s">
        <v>75</v>
      </c>
      <c r="B32" t="s">
        <v>76</v>
      </c>
      <c r="C32" t="s">
        <v>132</v>
      </c>
      <c r="D32">
        <v>1</v>
      </c>
      <c r="E32">
        <v>2</v>
      </c>
      <c r="F32" s="1"/>
      <c r="G32" t="s">
        <v>77</v>
      </c>
    </row>
    <row r="33" spans="1:8" x14ac:dyDescent="0.25">
      <c r="A33" t="s">
        <v>78</v>
      </c>
      <c r="B33" t="s">
        <v>79</v>
      </c>
      <c r="C33" t="s">
        <v>133</v>
      </c>
      <c r="D33">
        <v>1</v>
      </c>
      <c r="E33">
        <v>2</v>
      </c>
      <c r="F33" s="1"/>
      <c r="G33" t="s">
        <v>80</v>
      </c>
    </row>
    <row r="34" spans="1:8" x14ac:dyDescent="0.25">
      <c r="A34" t="s">
        <v>81</v>
      </c>
      <c r="B34" t="s">
        <v>82</v>
      </c>
      <c r="C34" t="s">
        <v>134</v>
      </c>
      <c r="D34">
        <v>1</v>
      </c>
      <c r="E34">
        <v>2</v>
      </c>
      <c r="F34" s="1"/>
      <c r="G34" t="s">
        <v>83</v>
      </c>
    </row>
    <row r="35" spans="1:8" x14ac:dyDescent="0.25">
      <c r="A35" t="s">
        <v>84</v>
      </c>
      <c r="B35" t="s">
        <v>85</v>
      </c>
      <c r="C35" t="s">
        <v>135</v>
      </c>
      <c r="D35">
        <v>1</v>
      </c>
      <c r="E35">
        <v>2</v>
      </c>
      <c r="F35" s="1"/>
      <c r="G35" t="s">
        <v>86</v>
      </c>
      <c r="H35" t="s">
        <v>87</v>
      </c>
    </row>
    <row r="36" spans="1:8" x14ac:dyDescent="0.25">
      <c r="A36" t="s">
        <v>88</v>
      </c>
      <c r="B36" t="s">
        <v>89</v>
      </c>
      <c r="C36" t="s">
        <v>138</v>
      </c>
      <c r="D36">
        <v>1</v>
      </c>
      <c r="E36">
        <v>2</v>
      </c>
      <c r="F36" s="1"/>
      <c r="G36" t="s">
        <v>90</v>
      </c>
    </row>
    <row r="37" spans="1:8" x14ac:dyDescent="0.25">
      <c r="A37" t="s">
        <v>91</v>
      </c>
      <c r="B37" t="s">
        <v>92</v>
      </c>
      <c r="C37" t="s">
        <v>139</v>
      </c>
      <c r="D37">
        <v>1</v>
      </c>
      <c r="E37">
        <v>3</v>
      </c>
      <c r="F37" s="1"/>
      <c r="G37" t="s">
        <v>93</v>
      </c>
    </row>
    <row r="38" spans="1:8" x14ac:dyDescent="0.25">
      <c r="A38" t="s">
        <v>94</v>
      </c>
      <c r="B38" t="s">
        <v>95</v>
      </c>
      <c r="C38" t="s">
        <v>140</v>
      </c>
      <c r="D38">
        <v>1</v>
      </c>
      <c r="E38">
        <v>2</v>
      </c>
      <c r="F38" s="1"/>
      <c r="G38" t="s">
        <v>96</v>
      </c>
      <c r="H38" t="s">
        <v>97</v>
      </c>
    </row>
    <row r="39" spans="1:8" x14ac:dyDescent="0.25">
      <c r="A39" t="s">
        <v>98</v>
      </c>
      <c r="B39" t="s">
        <v>99</v>
      </c>
      <c r="C39" t="s">
        <v>141</v>
      </c>
      <c r="D39">
        <v>1</v>
      </c>
      <c r="E39">
        <v>2</v>
      </c>
      <c r="F39" s="1"/>
      <c r="G39" t="s">
        <v>100</v>
      </c>
      <c r="H39" t="s">
        <v>101</v>
      </c>
    </row>
    <row r="40" spans="1:8" x14ac:dyDescent="0.25">
      <c r="A40" t="s">
        <v>102</v>
      </c>
      <c r="B40" t="s">
        <v>103</v>
      </c>
      <c r="D40">
        <v>1</v>
      </c>
      <c r="E40">
        <v>0</v>
      </c>
      <c r="F40" s="1"/>
      <c r="G40" t="s">
        <v>104</v>
      </c>
    </row>
    <row r="41" spans="1:8" x14ac:dyDescent="0.25">
      <c r="A41" t="s">
        <v>105</v>
      </c>
      <c r="B41" t="s">
        <v>106</v>
      </c>
      <c r="C41" t="s">
        <v>142</v>
      </c>
      <c r="D41">
        <v>1</v>
      </c>
      <c r="E41">
        <v>2</v>
      </c>
      <c r="F41" s="1"/>
      <c r="G41" t="s">
        <v>107</v>
      </c>
      <c r="H41" t="s">
        <v>106</v>
      </c>
    </row>
    <row r="42" spans="1:8" x14ac:dyDescent="0.25">
      <c r="B42" t="s">
        <v>129</v>
      </c>
      <c r="C42" t="s">
        <v>130</v>
      </c>
      <c r="D42">
        <v>1</v>
      </c>
      <c r="E42">
        <v>1</v>
      </c>
      <c r="F42" s="1"/>
    </row>
    <row r="43" spans="1:8" x14ac:dyDescent="0.25">
      <c r="B43" t="s">
        <v>137</v>
      </c>
      <c r="C43" t="s">
        <v>136</v>
      </c>
      <c r="D43">
        <v>1</v>
      </c>
      <c r="E43">
        <v>1</v>
      </c>
      <c r="F43" s="1"/>
    </row>
    <row r="44" spans="1:8" x14ac:dyDescent="0.25">
      <c r="F44" s="1">
        <f>SUM(F2:F43)</f>
        <v>2.1799999999999997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camCAD_fourLayer_v2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</dc:creator>
  <cp:lastModifiedBy>Siddharth V</cp:lastModifiedBy>
  <dcterms:created xsi:type="dcterms:W3CDTF">2026-09-21T23:02:00Z</dcterms:created>
  <dcterms:modified xsi:type="dcterms:W3CDTF">2026-09-22T12:31:36Z</dcterms:modified>
</cp:coreProperties>
</file>